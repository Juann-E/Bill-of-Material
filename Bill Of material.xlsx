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\Project Nagata PGR\"/>
    </mc:Choice>
  </mc:AlternateContent>
  <xr:revisionPtr revIDLastSave="0" documentId="13_ncr:1_{E84BE5F0-C139-4167-9819-8B8EACC49AD0}" xr6:coauthVersionLast="45" xr6:coauthVersionMax="45" xr10:uidLastSave="{00000000-0000-0000-0000-000000000000}"/>
  <bookViews>
    <workbookView xWindow="-120" yWindow="-120" windowWidth="20730" windowHeight="11310" xr2:uid="{09F32E15-3C3D-4278-A5D5-7F41B4ADD1F0}"/>
  </bookViews>
  <sheets>
    <sheet name="Bill of Material" sheetId="3" r:id="rId1"/>
    <sheet name="Duratio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3" l="1"/>
  <c r="D34" i="1"/>
  <c r="E34" i="1" s="1"/>
  <c r="D36" i="1"/>
  <c r="D39" i="1"/>
  <c r="E37" i="1" l="1"/>
  <c r="D37" i="1"/>
  <c r="D38" i="1"/>
  <c r="E32" i="1"/>
  <c r="D32" i="1"/>
  <c r="K12" i="1"/>
  <c r="X12" i="1" s="1"/>
  <c r="O12" i="1"/>
  <c r="S12" i="1"/>
  <c r="K13" i="1"/>
  <c r="X13" i="1" s="1"/>
  <c r="O13" i="1"/>
  <c r="S13" i="1"/>
  <c r="K14" i="1"/>
  <c r="X14" i="1" s="1"/>
  <c r="O14" i="1"/>
  <c r="S14" i="1"/>
  <c r="K15" i="1"/>
  <c r="X15" i="1" s="1"/>
  <c r="O15" i="1"/>
  <c r="S15" i="1"/>
  <c r="K16" i="1"/>
  <c r="X16" i="1" s="1"/>
  <c r="O16" i="1"/>
  <c r="S16" i="1"/>
  <c r="K17" i="1"/>
  <c r="X17" i="1" s="1"/>
  <c r="O17" i="1"/>
  <c r="S17" i="1"/>
  <c r="K18" i="1"/>
  <c r="X18" i="1" s="1"/>
  <c r="O18" i="1"/>
  <c r="S18" i="1"/>
  <c r="K19" i="1"/>
  <c r="X19" i="1" s="1"/>
  <c r="O19" i="1"/>
  <c r="S19" i="1"/>
  <c r="K20" i="1"/>
  <c r="X20" i="1" s="1"/>
  <c r="O20" i="1"/>
  <c r="S20" i="1"/>
  <c r="K21" i="1"/>
  <c r="X21" i="1" s="1"/>
  <c r="O21" i="1"/>
  <c r="S21" i="1"/>
  <c r="K22" i="1"/>
  <c r="X22" i="1" s="1"/>
  <c r="O22" i="1"/>
  <c r="S22" i="1"/>
  <c r="O5" i="1"/>
  <c r="O6" i="1"/>
  <c r="O7" i="1"/>
  <c r="O8" i="1"/>
  <c r="O9" i="1"/>
  <c r="O10" i="1"/>
  <c r="O11" i="1"/>
  <c r="O23" i="1"/>
  <c r="O24" i="1"/>
  <c r="O25" i="1"/>
  <c r="O26" i="1"/>
  <c r="O27" i="1"/>
  <c r="O28" i="1"/>
  <c r="E27" i="1"/>
  <c r="Q4" i="1" s="1"/>
  <c r="Q22" i="1" l="1"/>
  <c r="D33" i="1"/>
  <c r="E33" i="1" s="1"/>
  <c r="D31" i="1"/>
  <c r="E31" i="1" s="1"/>
  <c r="Q20" i="1"/>
  <c r="Q16" i="1"/>
  <c r="Q18" i="1"/>
  <c r="Q14" i="1"/>
  <c r="Q12" i="1"/>
  <c r="Q21" i="1"/>
  <c r="Q19" i="1"/>
  <c r="Q17" i="1"/>
  <c r="Q15" i="1"/>
  <c r="Q13" i="1"/>
  <c r="O4" i="1" l="1"/>
  <c r="S4" i="1" l="1"/>
  <c r="E25" i="1"/>
  <c r="R16" i="1" l="1"/>
  <c r="R18" i="1"/>
  <c r="R22" i="1"/>
  <c r="R13" i="1"/>
  <c r="R15" i="1"/>
  <c r="R17" i="1"/>
  <c r="R19" i="1"/>
  <c r="R21" i="1"/>
  <c r="R12" i="1"/>
  <c r="R14" i="1"/>
  <c r="R20" i="1"/>
  <c r="R8" i="1"/>
  <c r="R11" i="1"/>
  <c r="R27" i="1"/>
  <c r="R23" i="1"/>
  <c r="R7" i="1"/>
  <c r="R26" i="1"/>
  <c r="R10" i="1"/>
  <c r="R6" i="1"/>
  <c r="R25" i="1"/>
  <c r="R9" i="1"/>
  <c r="R5" i="1"/>
  <c r="R4" i="1"/>
  <c r="R24" i="1"/>
  <c r="S5" i="1"/>
  <c r="S6" i="1"/>
  <c r="S7" i="1"/>
  <c r="S8" i="1"/>
  <c r="S9" i="1"/>
  <c r="S10" i="1"/>
  <c r="S11" i="1"/>
  <c r="S23" i="1"/>
  <c r="S24" i="1"/>
  <c r="S25" i="1"/>
  <c r="S26" i="1"/>
  <c r="S27" i="1"/>
  <c r="K27" i="1"/>
  <c r="K26" i="1"/>
  <c r="X26" i="1" s="1"/>
  <c r="K25" i="1"/>
  <c r="X25" i="1" s="1"/>
  <c r="K24" i="1"/>
  <c r="X24" i="1" s="1"/>
  <c r="K23" i="1"/>
  <c r="K11" i="1"/>
  <c r="X11" i="1" s="1"/>
  <c r="K10" i="1"/>
  <c r="X10" i="1" s="1"/>
  <c r="K9" i="1"/>
  <c r="X9" i="1" s="1"/>
  <c r="K8" i="1"/>
  <c r="X8" i="1" s="1"/>
  <c r="K7" i="1"/>
  <c r="X7" i="1" s="1"/>
  <c r="K6" i="1"/>
  <c r="X6" i="1" s="1"/>
  <c r="K5" i="1"/>
  <c r="X27" i="1" l="1"/>
  <c r="X23" i="1"/>
  <c r="T13" i="1"/>
  <c r="V13" i="1"/>
  <c r="V20" i="1"/>
  <c r="T20" i="1"/>
  <c r="V22" i="1"/>
  <c r="T22" i="1"/>
  <c r="V14" i="1"/>
  <c r="T14" i="1"/>
  <c r="T17" i="1"/>
  <c r="V17" i="1"/>
  <c r="V18" i="1"/>
  <c r="T18" i="1"/>
  <c r="T21" i="1"/>
  <c r="V21" i="1"/>
  <c r="V19" i="1"/>
  <c r="T19" i="1"/>
  <c r="V12" i="1"/>
  <c r="T12" i="1"/>
  <c r="T15" i="1"/>
  <c r="V15" i="1"/>
  <c r="V16" i="1"/>
  <c r="T16" i="1"/>
  <c r="S29" i="1"/>
  <c r="Q5" i="1"/>
  <c r="T5" i="1" s="1"/>
  <c r="W5" i="1" s="1"/>
  <c r="T4" i="1"/>
  <c r="U4" i="1" s="1"/>
  <c r="X4" i="1"/>
  <c r="R29" i="1"/>
  <c r="Q7" i="1"/>
  <c r="T7" i="1" s="1"/>
  <c r="X5" i="1"/>
  <c r="Q6" i="1"/>
  <c r="Q26" i="1"/>
  <c r="Q10" i="1"/>
  <c r="Q25" i="1"/>
  <c r="Q9" i="1"/>
  <c r="Q24" i="1"/>
  <c r="V24" i="1" s="1"/>
  <c r="Q8" i="1"/>
  <c r="V8" i="1" s="1"/>
  <c r="Q27" i="1"/>
  <c r="Q23" i="1"/>
  <c r="Q11" i="1"/>
  <c r="V11" i="1" s="1"/>
  <c r="V27" i="1" l="1"/>
  <c r="E39" i="1"/>
  <c r="V23" i="1"/>
  <c r="E38" i="1"/>
  <c r="U19" i="1"/>
  <c r="W19" i="1"/>
  <c r="W14" i="1"/>
  <c r="U14" i="1"/>
  <c r="W16" i="1"/>
  <c r="U16" i="1"/>
  <c r="W12" i="1"/>
  <c r="U12" i="1"/>
  <c r="W22" i="1"/>
  <c r="U22" i="1"/>
  <c r="W18" i="1"/>
  <c r="U18" i="1"/>
  <c r="W20" i="1"/>
  <c r="U20" i="1"/>
  <c r="U15" i="1"/>
  <c r="W15" i="1"/>
  <c r="U21" i="1"/>
  <c r="W21" i="1"/>
  <c r="U17" i="1"/>
  <c r="W17" i="1"/>
  <c r="U13" i="1"/>
  <c r="W13" i="1"/>
  <c r="X29" i="1"/>
  <c r="T23" i="1"/>
  <c r="W23" i="1" s="1"/>
  <c r="U5" i="1"/>
  <c r="W4" i="1"/>
  <c r="T27" i="1"/>
  <c r="U27" i="1" s="1"/>
  <c r="V7" i="1"/>
  <c r="W7" i="1"/>
  <c r="U7" i="1"/>
  <c r="V26" i="1"/>
  <c r="T26" i="1"/>
  <c r="V25" i="1"/>
  <c r="T25" i="1"/>
  <c r="V6" i="1"/>
  <c r="T6" i="1"/>
  <c r="V9" i="1"/>
  <c r="T9" i="1"/>
  <c r="V10" i="1"/>
  <c r="T10" i="1"/>
  <c r="T8" i="1"/>
  <c r="T11" i="1"/>
  <c r="T24" i="1"/>
  <c r="V5" i="1"/>
  <c r="V4" i="1"/>
  <c r="Q29" i="1"/>
  <c r="E36" i="1" s="1"/>
  <c r="U23" i="1" l="1"/>
  <c r="W27" i="1"/>
  <c r="T29" i="1"/>
  <c r="U8" i="1"/>
  <c r="W8" i="1"/>
  <c r="W9" i="1"/>
  <c r="U9" i="1"/>
  <c r="W26" i="1"/>
  <c r="U26" i="1"/>
  <c r="W24" i="1"/>
  <c r="U24" i="1"/>
  <c r="W25" i="1"/>
  <c r="U25" i="1"/>
  <c r="U11" i="1"/>
  <c r="W11" i="1"/>
  <c r="W10" i="1"/>
  <c r="U10" i="1"/>
  <c r="U6" i="1"/>
  <c r="W6" i="1"/>
  <c r="V29" i="1"/>
  <c r="W29" i="1" l="1"/>
  <c r="U29" i="1"/>
</calcChain>
</file>

<file path=xl/sharedStrings.xml><?xml version="1.0" encoding="utf-8"?>
<sst xmlns="http://schemas.openxmlformats.org/spreadsheetml/2006/main" count="168" uniqueCount="115">
  <si>
    <t>setting</t>
  </si>
  <si>
    <t>waktu</t>
  </si>
  <si>
    <t>layer heigh</t>
  </si>
  <si>
    <t>0.2</t>
  </si>
  <si>
    <t>No</t>
  </si>
  <si>
    <t>Part</t>
  </si>
  <si>
    <t>berat (gr)</t>
  </si>
  <si>
    <t>qty</t>
  </si>
  <si>
    <t>total</t>
  </si>
  <si>
    <t>Status</t>
  </si>
  <si>
    <t>jam</t>
  </si>
  <si>
    <t>menit</t>
  </si>
  <si>
    <t>total waktu</t>
  </si>
  <si>
    <t>jam Operator</t>
  </si>
  <si>
    <t>Material Price</t>
  </si>
  <si>
    <t>Listrik</t>
  </si>
  <si>
    <t>Biaya +50%</t>
  </si>
  <si>
    <t>biaya x2</t>
  </si>
  <si>
    <t>biaya x3</t>
  </si>
  <si>
    <t>wall thickness</t>
  </si>
  <si>
    <t>0.8</t>
  </si>
  <si>
    <t>Queue</t>
  </si>
  <si>
    <t>wall line count</t>
  </si>
  <si>
    <t>top/bottom thickness</t>
  </si>
  <si>
    <t xml:space="preserve">top layer </t>
  </si>
  <si>
    <t>bottol layer</t>
  </si>
  <si>
    <t xml:space="preserve">infil </t>
  </si>
  <si>
    <t>Scale</t>
  </si>
  <si>
    <t>support density</t>
  </si>
  <si>
    <t>Listrik/kwh</t>
  </si>
  <si>
    <t>Material</t>
  </si>
  <si>
    <t>biaya operator + mesin</t>
  </si>
  <si>
    <t>Listrik mesin</t>
  </si>
  <si>
    <t>harga</t>
  </si>
  <si>
    <t>Total biaya pembuatan</t>
  </si>
  <si>
    <t>Custom Price</t>
  </si>
  <si>
    <t>Item</t>
  </si>
  <si>
    <t>Type</t>
  </si>
  <si>
    <t>Color</t>
  </si>
  <si>
    <t>Quantity</t>
  </si>
  <si>
    <t>Cost/pcs</t>
  </si>
  <si>
    <t>total Cost</t>
  </si>
  <si>
    <t>Link</t>
  </si>
  <si>
    <t>Wakizashi Scabard 1,2</t>
  </si>
  <si>
    <t>Wakizashi Scabard 3</t>
  </si>
  <si>
    <t>Wakizashi Scabard 4</t>
  </si>
  <si>
    <t>Wakizashi 1</t>
  </si>
  <si>
    <t>Wakizashi 2</t>
  </si>
  <si>
    <t>Wakizashi Handle Cap</t>
  </si>
  <si>
    <t>Wakizashi Handle</t>
  </si>
  <si>
    <t>PETG</t>
  </si>
  <si>
    <t>Wadah Batrai</t>
  </si>
  <si>
    <t>Odachi Scabard 1</t>
  </si>
  <si>
    <t>Odachi Scabard 2</t>
  </si>
  <si>
    <t>Odachi Scabard 3</t>
  </si>
  <si>
    <t>Odachi Scabard 4</t>
  </si>
  <si>
    <t>Odachi Scabard 5</t>
  </si>
  <si>
    <t>waktu total</t>
  </si>
  <si>
    <t>O Scabard Rota  2,3,4</t>
  </si>
  <si>
    <t>O Scabard Rota  1,5</t>
  </si>
  <si>
    <t>Rota Lock L,r</t>
  </si>
  <si>
    <t>Hari</t>
  </si>
  <si>
    <t>Menit</t>
  </si>
  <si>
    <t>Wakizashi</t>
  </si>
  <si>
    <t>Odachi</t>
  </si>
  <si>
    <t>Material total</t>
  </si>
  <si>
    <t>mater per gr</t>
  </si>
  <si>
    <t>cost material</t>
  </si>
  <si>
    <t>Odachi 1</t>
  </si>
  <si>
    <t>Odachi 2</t>
  </si>
  <si>
    <t>Odachi 3</t>
  </si>
  <si>
    <t>Odachi 4</t>
  </si>
  <si>
    <t>Odachi 5</t>
  </si>
  <si>
    <t>Odachi 6</t>
  </si>
  <si>
    <t>Odachi 6cap,1cap</t>
  </si>
  <si>
    <t>Upper Lower Connector</t>
  </si>
  <si>
    <t>Connector</t>
  </si>
  <si>
    <t>Filament</t>
  </si>
  <si>
    <t>Sunlu PETG</t>
  </si>
  <si>
    <t>White</t>
  </si>
  <si>
    <t>https://id.shp.ee/qc8hWs7U</t>
  </si>
  <si>
    <t>Note</t>
  </si>
  <si>
    <t>Baru 1</t>
  </si>
  <si>
    <t>Micro Controller</t>
  </si>
  <si>
    <t>Esp 32 C3 Mini</t>
  </si>
  <si>
    <t>-</t>
  </si>
  <si>
    <t>Stepup module</t>
  </si>
  <si>
    <t>MT3608</t>
  </si>
  <si>
    <t>https://id.shp.ee/BxFS5cE8</t>
  </si>
  <si>
    <t>https://id.shp.ee/gsXPXnVL</t>
  </si>
  <si>
    <t>LED</t>
  </si>
  <si>
    <t>Strip 5V</t>
  </si>
  <si>
    <t>RED</t>
  </si>
  <si>
    <t>Cat</t>
  </si>
  <si>
    <t>Aeropak</t>
  </si>
  <si>
    <t>MR DIY</t>
  </si>
  <si>
    <t>Tersedia</t>
  </si>
  <si>
    <t>Belum</t>
  </si>
  <si>
    <t>Baut</t>
  </si>
  <si>
    <t>M3 x10</t>
  </si>
  <si>
    <t>https://id.shp.ee/g72tqJgN</t>
  </si>
  <si>
    <t>Batrai</t>
  </si>
  <si>
    <t>Chrome</t>
  </si>
  <si>
    <t>Flyers</t>
  </si>
  <si>
    <t xml:space="preserve">Red </t>
  </si>
  <si>
    <t>Bar</t>
  </si>
  <si>
    <t>Stainless Bar 100 cm</t>
  </si>
  <si>
    <t>https://id.shp.ee/ANGRAD7w</t>
  </si>
  <si>
    <t>Pylox</t>
  </si>
  <si>
    <t>Gray</t>
  </si>
  <si>
    <t>Stok</t>
  </si>
  <si>
    <t>https://id.shp.ee/itNchkn3</t>
  </si>
  <si>
    <t>ws2812b</t>
  </si>
  <si>
    <t>RGB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</si>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</sst>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Rp&quot;* #,##0_-;\-&quot;Rp&quot;* #,##0_-;_-&quot;Rp&quot;* &quot;-&quot;_-;_-@_-"/>
    <numFmt numFmtId="44" formatCode="_-&quot;Rp&quot;* #,##0.00_-;\-&quot;Rp&quot;* #,##0.00_-;_-&quot;Rp&quot;* &quot;-&quot;??_-;_-@_-"/>
    <numFmt numFmtId="164" formatCode="_-[$Rp-3809]* #,##0.00_-;\-[$Rp-3809]* #,##0.00_-;_-[$Rp-3809]* &quot;-&quot;??_-;_-@_-"/>
    <numFmt numFmtId="165" formatCode="[$-F400]h:mm:ss\ AM/PM"/>
    <numFmt numFmtId="166" formatCode="_-&quot;Rp&quot;* #,##0.00_-;\-&quot;Rp&quot;* #,##0.00_-;_-&quot;Rp&quot;* &quot;-&quot;_-;_-@_-"/>
    <numFmt numFmtId="167" formatCode="_-&quot;Rp&quot;* #,##0_-;\-&quot;Rp&quot;* #,##0_-;_-&quot;Rp&quot;* &quot;-&quot;??_-;_-@_-"/>
  </numFmts>
  <fonts count="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8"/>
      <name val="Calibri"/>
      <family val="2"/>
      <charset val="1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44" fontId="0" fillId="0" borderId="0" xfId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42" fontId="2" fillId="0" borderId="0" xfId="0" applyNumberFormat="1" applyFont="1"/>
    <xf numFmtId="0" fontId="2" fillId="0" borderId="0" xfId="0" applyFont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/>
    </xf>
    <xf numFmtId="9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42" fontId="0" fillId="0" borderId="0" xfId="0" applyNumberForma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42" fontId="2" fillId="0" borderId="0" xfId="0" applyNumberFormat="1" applyFont="1" applyAlignment="1">
      <alignment horizontal="center" vertical="center"/>
    </xf>
    <xf numFmtId="44" fontId="2" fillId="0" borderId="0" xfId="1" applyFont="1"/>
    <xf numFmtId="42" fontId="2" fillId="0" borderId="0" xfId="2" applyFont="1" applyAlignment="1">
      <alignment vertical="center"/>
    </xf>
    <xf numFmtId="42" fontId="2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 vertical="center"/>
    </xf>
    <xf numFmtId="0" fontId="2" fillId="0" borderId="0" xfId="0" applyNumberFormat="1" applyFont="1" applyAlignment="1">
      <alignment vertical="center"/>
    </xf>
    <xf numFmtId="167" fontId="2" fillId="0" borderId="0" xfId="0" applyNumberFormat="1" applyFont="1" applyAlignment="1">
      <alignment horizontal="center" vertical="center"/>
    </xf>
    <xf numFmtId="167" fontId="2" fillId="0" borderId="0" xfId="2" applyNumberFormat="1" applyFont="1" applyAlignment="1">
      <alignment horizontal="center" vertical="center"/>
    </xf>
    <xf numFmtId="167" fontId="0" fillId="0" borderId="0" xfId="2" applyNumberFormat="1" applyFont="1"/>
    <xf numFmtId="167" fontId="2" fillId="2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67" fontId="0" fillId="0" borderId="0" xfId="1" applyNumberFormat="1" applyFont="1" applyAlignment="1">
      <alignment vertical="center"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2" fontId="0" fillId="0" borderId="0" xfId="2" applyFont="1"/>
    <xf numFmtId="0" fontId="0" fillId="0" borderId="0" xfId="2" applyNumberFormat="1" applyFont="1"/>
    <xf numFmtId="0" fontId="3" fillId="0" borderId="0" xfId="3"/>
    <xf numFmtId="0" fontId="2" fillId="0" borderId="0" xfId="2" applyNumberFormat="1" applyFont="1" applyAlignment="1">
      <alignment horizontal="center" vertical="center"/>
    </xf>
    <xf numFmtId="1" fontId="2" fillId="0" borderId="0" xfId="2" applyNumberFormat="1" applyFont="1" applyAlignment="1">
      <alignment horizontal="center" vertical="center"/>
    </xf>
    <xf numFmtId="167" fontId="0" fillId="0" borderId="0" xfId="1" applyNumberFormat="1" applyFont="1"/>
    <xf numFmtId="2" fontId="2" fillId="0" borderId="0" xfId="2" applyNumberFormat="1" applyFont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4">
    <cellStyle name="Currency" xfId="1" builtinId="4"/>
    <cellStyle name="Currency [0]" xfId="2" builtinId="7"/>
    <cellStyle name="Hyperlink" xfId="3" builtinId="8"/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d.shp.ee/BxFS5cE8" TargetMode="External"/><Relationship Id="rId2" Type="http://schemas.openxmlformats.org/officeDocument/2006/relationships/hyperlink" Target="https://id.shp.ee/g72tqJgN" TargetMode="External"/><Relationship Id="rId1" Type="http://schemas.openxmlformats.org/officeDocument/2006/relationships/hyperlink" Target="https://id.shp.ee/ANGRAD7w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d.shp.ee/itNchkn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13455-2670-4628-A6F3-D5D5A6B0F3F3}">
  <dimension ref="A1:J13"/>
  <sheetViews>
    <sheetView tabSelected="1" workbookViewId="0">
      <selection activeCell="J16" sqref="J16"/>
    </sheetView>
  </sheetViews>
  <sheetFormatPr defaultRowHeight="15" x14ac:dyDescent="0.25"/>
  <cols>
    <col min="2" max="2" width="15.5703125" bestFit="1" customWidth="1"/>
    <col min="3" max="3" width="19.85546875" customWidth="1"/>
    <col min="4" max="4" width="20.7109375" customWidth="1"/>
    <col min="5" max="5" width="19.85546875" customWidth="1"/>
    <col min="6" max="6" width="14" style="1" bestFit="1" customWidth="1"/>
    <col min="7" max="7" width="13.42578125" customWidth="1"/>
    <col min="8" max="8" width="14.85546875" customWidth="1"/>
    <col min="9" max="9" width="18" customWidth="1"/>
    <col min="10" max="10" width="11.85546875" style="30" bestFit="1" customWidth="1"/>
  </cols>
  <sheetData>
    <row r="1" spans="1:10" ht="15.75" thickBot="1" x14ac:dyDescent="0.3">
      <c r="A1" s="7" t="s">
        <v>4</v>
      </c>
      <c r="B1" t="s">
        <v>36</v>
      </c>
      <c r="C1" t="s">
        <v>37</v>
      </c>
      <c r="D1" t="s">
        <v>38</v>
      </c>
      <c r="E1" t="s">
        <v>39</v>
      </c>
      <c r="F1" s="1" t="s">
        <v>40</v>
      </c>
      <c r="G1" t="s">
        <v>41</v>
      </c>
      <c r="H1" t="s">
        <v>9</v>
      </c>
      <c r="I1" t="s">
        <v>42</v>
      </c>
      <c r="J1" s="38" t="s">
        <v>81</v>
      </c>
    </row>
    <row r="2" spans="1:10" ht="15.75" thickBot="1" x14ac:dyDescent="0.3">
      <c r="A2" s="28">
        <v>1</v>
      </c>
      <c r="B2" t="s">
        <v>77</v>
      </c>
      <c r="C2" t="s">
        <v>78</v>
      </c>
      <c r="D2" t="s">
        <v>79</v>
      </c>
      <c r="E2">
        <v>2</v>
      </c>
      <c r="F2" s="1">
        <v>143000</v>
      </c>
      <c r="G2" s="31">
        <f>F2*E2</f>
        <v>286000</v>
      </c>
      <c r="H2" s="32">
        <v>1</v>
      </c>
      <c r="I2" s="33" t="s">
        <v>80</v>
      </c>
      <c r="J2" s="39" t="s">
        <v>82</v>
      </c>
    </row>
    <row r="3" spans="1:10" x14ac:dyDescent="0.25">
      <c r="A3" s="28">
        <v>2</v>
      </c>
      <c r="B3" t="s">
        <v>83</v>
      </c>
      <c r="C3" t="s">
        <v>84</v>
      </c>
      <c r="D3" t="s">
        <v>85</v>
      </c>
      <c r="E3">
        <v>1</v>
      </c>
      <c r="F3" s="1">
        <v>35000</v>
      </c>
      <c r="G3" s="31"/>
      <c r="H3" s="32">
        <v>1</v>
      </c>
      <c r="I3" s="33" t="s">
        <v>89</v>
      </c>
      <c r="J3" s="30" t="s">
        <v>96</v>
      </c>
    </row>
    <row r="4" spans="1:10" x14ac:dyDescent="0.25">
      <c r="A4">
        <v>3</v>
      </c>
      <c r="B4" t="s">
        <v>86</v>
      </c>
      <c r="C4" t="s">
        <v>87</v>
      </c>
      <c r="D4" t="s">
        <v>85</v>
      </c>
      <c r="E4">
        <v>1</v>
      </c>
      <c r="F4" s="1">
        <v>8000</v>
      </c>
      <c r="H4">
        <v>1</v>
      </c>
      <c r="I4" s="33" t="s">
        <v>88</v>
      </c>
      <c r="J4" s="30" t="s">
        <v>96</v>
      </c>
    </row>
    <row r="5" spans="1:10" x14ac:dyDescent="0.25">
      <c r="B5" t="s">
        <v>90</v>
      </c>
      <c r="C5" t="s">
        <v>91</v>
      </c>
      <c r="D5" t="s">
        <v>92</v>
      </c>
      <c r="E5">
        <v>2</v>
      </c>
      <c r="F5" s="1">
        <v>6000</v>
      </c>
      <c r="H5">
        <v>0</v>
      </c>
      <c r="I5" s="33" t="s">
        <v>111</v>
      </c>
      <c r="J5" s="30" t="s">
        <v>97</v>
      </c>
    </row>
    <row r="6" spans="1:10" x14ac:dyDescent="0.25">
      <c r="B6" t="s">
        <v>93</v>
      </c>
      <c r="C6" t="s">
        <v>94</v>
      </c>
      <c r="D6" t="s">
        <v>79</v>
      </c>
      <c r="E6">
        <v>1</v>
      </c>
      <c r="F6" s="1">
        <v>25000</v>
      </c>
      <c r="H6">
        <v>1</v>
      </c>
      <c r="I6" t="s">
        <v>95</v>
      </c>
      <c r="J6" s="30" t="s">
        <v>96</v>
      </c>
    </row>
    <row r="7" spans="1:10" x14ac:dyDescent="0.25">
      <c r="B7" t="s">
        <v>98</v>
      </c>
      <c r="C7" t="s">
        <v>99</v>
      </c>
      <c r="D7" t="s">
        <v>85</v>
      </c>
      <c r="E7">
        <v>10</v>
      </c>
      <c r="F7" s="1">
        <v>1500</v>
      </c>
      <c r="H7">
        <v>10</v>
      </c>
      <c r="I7" s="33" t="s">
        <v>100</v>
      </c>
      <c r="J7" s="30" t="s">
        <v>96</v>
      </c>
    </row>
    <row r="8" spans="1:10" x14ac:dyDescent="0.25">
      <c r="B8" t="s">
        <v>101</v>
      </c>
      <c r="C8">
        <v>18650</v>
      </c>
      <c r="D8" t="s">
        <v>85</v>
      </c>
      <c r="E8">
        <v>2</v>
      </c>
      <c r="F8"/>
      <c r="H8">
        <v>2</v>
      </c>
      <c r="I8" t="s">
        <v>110</v>
      </c>
      <c r="J8" s="30" t="s">
        <v>96</v>
      </c>
    </row>
    <row r="9" spans="1:10" x14ac:dyDescent="0.25">
      <c r="B9" t="s">
        <v>93</v>
      </c>
      <c r="C9" t="s">
        <v>103</v>
      </c>
      <c r="D9" t="s">
        <v>102</v>
      </c>
      <c r="E9">
        <v>1</v>
      </c>
      <c r="F9" s="1">
        <v>15000</v>
      </c>
      <c r="H9">
        <v>1</v>
      </c>
      <c r="I9" t="s">
        <v>95</v>
      </c>
      <c r="J9" s="30" t="s">
        <v>96</v>
      </c>
    </row>
    <row r="10" spans="1:10" x14ac:dyDescent="0.25">
      <c r="B10" t="s">
        <v>93</v>
      </c>
      <c r="C10" t="s">
        <v>103</v>
      </c>
      <c r="D10" t="s">
        <v>104</v>
      </c>
      <c r="E10">
        <v>3</v>
      </c>
      <c r="F10" s="1">
        <v>13500</v>
      </c>
      <c r="H10">
        <v>0</v>
      </c>
      <c r="I10" t="s">
        <v>95</v>
      </c>
      <c r="J10" s="30" t="s">
        <v>97</v>
      </c>
    </row>
    <row r="11" spans="1:10" x14ac:dyDescent="0.25">
      <c r="B11" t="s">
        <v>105</v>
      </c>
      <c r="C11" t="s">
        <v>106</v>
      </c>
      <c r="D11" t="s">
        <v>85</v>
      </c>
      <c r="E11">
        <v>8</v>
      </c>
      <c r="F11" s="1">
        <v>9000</v>
      </c>
      <c r="H11">
        <v>0</v>
      </c>
      <c r="I11" s="33" t="s">
        <v>107</v>
      </c>
      <c r="J11" s="30" t="s">
        <v>97</v>
      </c>
    </row>
    <row r="12" spans="1:10" x14ac:dyDescent="0.25">
      <c r="B12" t="s">
        <v>93</v>
      </c>
      <c r="C12" t="s">
        <v>108</v>
      </c>
      <c r="D12" t="s">
        <v>109</v>
      </c>
      <c r="E12">
        <v>1</v>
      </c>
      <c r="F12"/>
      <c r="G12" t="s">
        <v>85</v>
      </c>
      <c r="H12">
        <v>1</v>
      </c>
      <c r="I12" t="s">
        <v>110</v>
      </c>
      <c r="J12" s="30" t="s">
        <v>96</v>
      </c>
    </row>
    <row r="13" spans="1:10" x14ac:dyDescent="0.25">
      <c r="B13" t="s">
        <v>90</v>
      </c>
      <c r="C13" t="s">
        <v>112</v>
      </c>
      <c r="D13" t="s">
        <v>113</v>
      </c>
      <c r="E13">
        <v>3</v>
      </c>
      <c r="F13"/>
      <c r="H13">
        <v>1</v>
      </c>
      <c r="I13" t="s">
        <v>110</v>
      </c>
      <c r="J13" s="30" t="s">
        <v>96</v>
      </c>
    </row>
  </sheetData>
  <conditionalFormatting sqref="J2:J19">
    <cfRule type="containsText" dxfId="2" priority="3" operator="containsText" text="Tersedia">
      <formula>NOT(ISERROR(SEARCH("Tersedia",J2)))</formula>
    </cfRule>
    <cfRule type="containsText" dxfId="1" priority="2" operator="containsText" text="Belum">
      <formula>NOT(ISERROR(SEARCH("Belum",J2)))</formula>
    </cfRule>
    <cfRule type="containsText" dxfId="0" priority="1" operator="containsText" text="baru">
      <formula>NOT(ISERROR(SEARCH("baru",J2)))</formula>
    </cfRule>
  </conditionalFormatting>
  <hyperlinks>
    <hyperlink ref="I11" r:id="rId1" xr:uid="{E1F2A991-BFA2-41BF-B04A-A1C944797BF7}"/>
    <hyperlink ref="I7" r:id="rId2" xr:uid="{80994F4E-B6F5-4CA8-82A7-12E033AAC4CD}"/>
    <hyperlink ref="I4" r:id="rId3" xr:uid="{B25C3041-7613-4B10-AD4E-3CF22A0005F8}"/>
    <hyperlink ref="I5" r:id="rId4" xr:uid="{706EFBB6-4876-4962-BC61-6C1ABD89A7D5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4CA24-21E5-4D49-860E-7D7A80032E66}">
  <dimension ref="B1:X39"/>
  <sheetViews>
    <sheetView topLeftCell="A22" zoomScaleNormal="100" workbookViewId="0">
      <selection activeCell="L5" sqref="L5"/>
    </sheetView>
  </sheetViews>
  <sheetFormatPr defaultRowHeight="15" x14ac:dyDescent="0.25"/>
  <cols>
    <col min="3" max="3" width="20.42578125" bestFit="1" customWidth="1"/>
    <col min="4" max="5" width="14" bestFit="1" customWidth="1"/>
    <col min="6" max="6" width="4.42578125" customWidth="1"/>
    <col min="8" max="8" width="22.28515625" bestFit="1" customWidth="1"/>
    <col min="9" max="9" width="16.5703125" bestFit="1" customWidth="1"/>
    <col min="15" max="15" width="11" bestFit="1" customWidth="1"/>
    <col min="16" max="16" width="12.7109375" bestFit="1" customWidth="1"/>
    <col min="17" max="17" width="15.5703125" bestFit="1" customWidth="1"/>
    <col min="18" max="18" width="14" bestFit="1" customWidth="1"/>
    <col min="19" max="20" width="14" customWidth="1"/>
    <col min="21" max="21" width="16.5703125" bestFit="1" customWidth="1"/>
    <col min="22" max="23" width="15.5703125" bestFit="1" customWidth="1"/>
    <col min="24" max="24" width="12.85546875" bestFit="1" customWidth="1"/>
  </cols>
  <sheetData>
    <row r="1" spans="2:24" x14ac:dyDescent="0.25">
      <c r="D1" s="2"/>
      <c r="G1" s="2"/>
      <c r="K1" s="2"/>
      <c r="L1" s="2"/>
      <c r="M1" s="2"/>
      <c r="N1" s="2"/>
      <c r="O1" s="2"/>
      <c r="P1" s="2"/>
      <c r="Q1" s="2"/>
      <c r="R1" s="2"/>
      <c r="S1" s="2"/>
      <c r="T1" s="2"/>
      <c r="U1" s="40" t="s">
        <v>33</v>
      </c>
      <c r="V1" s="40"/>
      <c r="W1" s="40"/>
      <c r="X1" s="40"/>
    </row>
    <row r="2" spans="2:24" ht="30" customHeight="1" x14ac:dyDescent="0.25">
      <c r="B2" t="s">
        <v>0</v>
      </c>
      <c r="D2" s="2"/>
      <c r="G2" s="2"/>
      <c r="K2" s="2"/>
      <c r="L2" s="2"/>
      <c r="M2" s="40" t="s">
        <v>1</v>
      </c>
      <c r="N2" s="40"/>
      <c r="O2" s="40"/>
      <c r="P2" s="2"/>
      <c r="Q2" s="2"/>
      <c r="R2" s="4"/>
      <c r="S2" s="42" t="s">
        <v>31</v>
      </c>
      <c r="T2" s="42" t="s">
        <v>34</v>
      </c>
      <c r="U2" s="4" t="s">
        <v>16</v>
      </c>
      <c r="V2" s="15" t="s">
        <v>17</v>
      </c>
      <c r="W2" s="4" t="s">
        <v>18</v>
      </c>
      <c r="X2" s="25" t="s">
        <v>35</v>
      </c>
    </row>
    <row r="3" spans="2:24" x14ac:dyDescent="0.25">
      <c r="C3" s="7" t="s">
        <v>2</v>
      </c>
      <c r="D3" s="2" t="s">
        <v>3</v>
      </c>
      <c r="G3" s="4" t="s">
        <v>4</v>
      </c>
      <c r="H3" s="6" t="s">
        <v>5</v>
      </c>
      <c r="I3" s="6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8" t="s">
        <v>12</v>
      </c>
      <c r="P3" s="4" t="s">
        <v>13</v>
      </c>
      <c r="Q3" s="4" t="s">
        <v>14</v>
      </c>
      <c r="R3" s="4" t="s">
        <v>15</v>
      </c>
      <c r="S3" s="42"/>
      <c r="T3" s="42"/>
      <c r="U3" s="2">
        <v>50</v>
      </c>
      <c r="V3" s="4">
        <v>2</v>
      </c>
      <c r="W3" s="4">
        <v>3</v>
      </c>
      <c r="X3" s="26">
        <v>1000</v>
      </c>
    </row>
    <row r="4" spans="2:24" x14ac:dyDescent="0.25">
      <c r="C4" s="7" t="s">
        <v>19</v>
      </c>
      <c r="D4" s="2" t="s">
        <v>20</v>
      </c>
      <c r="G4" s="4">
        <v>1</v>
      </c>
      <c r="H4" s="4" t="s">
        <v>43</v>
      </c>
      <c r="I4" s="4">
        <v>70</v>
      </c>
      <c r="J4" s="4">
        <v>1</v>
      </c>
      <c r="K4" s="4">
        <v>70</v>
      </c>
      <c r="L4" s="2" t="s">
        <v>114</v>
      </c>
      <c r="M4">
        <v>11</v>
      </c>
      <c r="N4" s="4">
        <v>10</v>
      </c>
      <c r="O4" s="4">
        <f>(M4*60)+N4</f>
        <v>670</v>
      </c>
      <c r="P4" s="4"/>
      <c r="Q4" s="21">
        <f t="shared" ref="Q4:Q11" si="0">$E$27*K4</f>
        <v>10010</v>
      </c>
      <c r="R4" s="22">
        <f t="shared" ref="R4:R11" si="1">$D$24*$E$25*(O4/60)</f>
        <v>5862.5</v>
      </c>
      <c r="S4" s="22">
        <f>(5000*P4)</f>
        <v>0</v>
      </c>
      <c r="T4" s="22">
        <f>SUM(Q4:S4)</f>
        <v>15872.5</v>
      </c>
      <c r="U4" s="23">
        <f>T4+(($U$3/100)*T4)</f>
        <v>23808.75</v>
      </c>
      <c r="V4" s="22">
        <f>SUM(Q4:S4)*$V$3</f>
        <v>31745</v>
      </c>
      <c r="W4" s="22">
        <f>T4*$W$3</f>
        <v>47617.5</v>
      </c>
      <c r="X4" s="27">
        <f>$X$3*K4</f>
        <v>70000</v>
      </c>
    </row>
    <row r="5" spans="2:24" x14ac:dyDescent="0.25">
      <c r="C5" s="7" t="s">
        <v>22</v>
      </c>
      <c r="D5" s="2">
        <v>6</v>
      </c>
      <c r="G5" s="4">
        <v>2</v>
      </c>
      <c r="H5" s="4" t="s">
        <v>44</v>
      </c>
      <c r="I5" s="4">
        <v>69</v>
      </c>
      <c r="J5" s="4">
        <v>1</v>
      </c>
      <c r="K5" s="4">
        <f t="shared" ref="K5:K27" si="2">J5*I5</f>
        <v>69</v>
      </c>
      <c r="L5" s="2" t="s">
        <v>21</v>
      </c>
      <c r="M5">
        <v>10</v>
      </c>
      <c r="N5" s="4">
        <v>31</v>
      </c>
      <c r="O5" s="4">
        <f t="shared" ref="O5:O28" si="3">(M5*60)+N5</f>
        <v>631</v>
      </c>
      <c r="P5" s="4"/>
      <c r="Q5" s="21">
        <f t="shared" si="0"/>
        <v>9867</v>
      </c>
      <c r="R5" s="22">
        <f t="shared" si="1"/>
        <v>5521.25</v>
      </c>
      <c r="S5" s="22">
        <f t="shared" ref="S5:S27" si="4">(5000*P5)</f>
        <v>0</v>
      </c>
      <c r="T5" s="22">
        <f t="shared" ref="T5:T27" si="5">SUM(Q5:S5)</f>
        <v>15388.25</v>
      </c>
      <c r="U5" s="23">
        <f t="shared" ref="U5:U27" si="6">T5+(($U$3/100)*T5)</f>
        <v>23082.375</v>
      </c>
      <c r="V5" s="22">
        <f t="shared" ref="V5:V27" si="7">SUM(Q5:S5)*$V$3</f>
        <v>30776.5</v>
      </c>
      <c r="W5" s="22">
        <f t="shared" ref="W5:W27" si="8">T5*$W$3</f>
        <v>46164.75</v>
      </c>
      <c r="X5" s="27">
        <f t="shared" ref="X5:X27" si="9">$X$3*K5</f>
        <v>69000</v>
      </c>
    </row>
    <row r="6" spans="2:24" x14ac:dyDescent="0.25">
      <c r="C6" s="7" t="s">
        <v>23</v>
      </c>
      <c r="D6" s="2" t="s">
        <v>20</v>
      </c>
      <c r="G6" s="4">
        <v>3</v>
      </c>
      <c r="H6" s="4" t="s">
        <v>45</v>
      </c>
      <c r="I6" s="4">
        <v>38</v>
      </c>
      <c r="J6" s="4">
        <v>1</v>
      </c>
      <c r="K6" s="4">
        <f t="shared" si="2"/>
        <v>38</v>
      </c>
      <c r="L6" s="2" t="s">
        <v>21</v>
      </c>
      <c r="M6">
        <v>5</v>
      </c>
      <c r="N6" s="4">
        <v>45</v>
      </c>
      <c r="O6" s="4">
        <f t="shared" si="3"/>
        <v>345</v>
      </c>
      <c r="P6" s="4"/>
      <c r="Q6" s="21">
        <f t="shared" si="0"/>
        <v>5434</v>
      </c>
      <c r="R6" s="22">
        <f t="shared" si="1"/>
        <v>3018.75</v>
      </c>
      <c r="S6" s="22">
        <f t="shared" si="4"/>
        <v>0</v>
      </c>
      <c r="T6" s="22">
        <f t="shared" si="5"/>
        <v>8452.75</v>
      </c>
      <c r="U6" s="23">
        <f t="shared" si="6"/>
        <v>12679.125</v>
      </c>
      <c r="V6" s="22">
        <f t="shared" si="7"/>
        <v>16905.5</v>
      </c>
      <c r="W6" s="22">
        <f t="shared" si="8"/>
        <v>25358.25</v>
      </c>
      <c r="X6" s="27">
        <f t="shared" si="9"/>
        <v>38000</v>
      </c>
    </row>
    <row r="7" spans="2:24" x14ac:dyDescent="0.25">
      <c r="C7" s="7" t="s">
        <v>24</v>
      </c>
      <c r="D7" s="2">
        <v>5</v>
      </c>
      <c r="G7" s="4">
        <v>4</v>
      </c>
      <c r="H7" s="4" t="s">
        <v>46</v>
      </c>
      <c r="I7" s="4">
        <v>39</v>
      </c>
      <c r="J7" s="4">
        <v>1</v>
      </c>
      <c r="K7" s="4">
        <f t="shared" si="2"/>
        <v>39</v>
      </c>
      <c r="L7" s="2" t="s">
        <v>21</v>
      </c>
      <c r="M7">
        <v>5</v>
      </c>
      <c r="N7" s="4">
        <v>13</v>
      </c>
      <c r="O7" s="4">
        <f t="shared" si="3"/>
        <v>313</v>
      </c>
      <c r="P7" s="4"/>
      <c r="Q7" s="21">
        <f t="shared" si="0"/>
        <v>5577</v>
      </c>
      <c r="R7" s="22">
        <f t="shared" si="1"/>
        <v>2738.75</v>
      </c>
      <c r="S7" s="22">
        <f t="shared" si="4"/>
        <v>0</v>
      </c>
      <c r="T7" s="22">
        <f t="shared" si="5"/>
        <v>8315.75</v>
      </c>
      <c r="U7" s="23">
        <f t="shared" si="6"/>
        <v>12473.625</v>
      </c>
      <c r="V7" s="22">
        <f t="shared" si="7"/>
        <v>16631.5</v>
      </c>
      <c r="W7" s="22">
        <f t="shared" si="8"/>
        <v>24947.25</v>
      </c>
      <c r="X7" s="27">
        <f t="shared" si="9"/>
        <v>39000</v>
      </c>
    </row>
    <row r="8" spans="2:24" x14ac:dyDescent="0.25">
      <c r="C8" s="7" t="s">
        <v>25</v>
      </c>
      <c r="D8" s="2">
        <v>5</v>
      </c>
      <c r="G8" s="4">
        <v>5</v>
      </c>
      <c r="H8" s="4" t="s">
        <v>47</v>
      </c>
      <c r="I8" s="4">
        <v>24</v>
      </c>
      <c r="J8" s="4">
        <v>1</v>
      </c>
      <c r="K8" s="4">
        <f t="shared" si="2"/>
        <v>24</v>
      </c>
      <c r="L8" s="2" t="s">
        <v>21</v>
      </c>
      <c r="M8">
        <v>3</v>
      </c>
      <c r="N8" s="4">
        <v>12</v>
      </c>
      <c r="O8" s="4">
        <f t="shared" si="3"/>
        <v>192</v>
      </c>
      <c r="P8" s="4"/>
      <c r="Q8" s="21">
        <f t="shared" si="0"/>
        <v>3432</v>
      </c>
      <c r="R8" s="22">
        <f t="shared" si="1"/>
        <v>1680</v>
      </c>
      <c r="S8" s="22">
        <f t="shared" si="4"/>
        <v>0</v>
      </c>
      <c r="T8" s="22">
        <f t="shared" si="5"/>
        <v>5112</v>
      </c>
      <c r="U8" s="23">
        <f t="shared" si="6"/>
        <v>7668</v>
      </c>
      <c r="V8" s="22">
        <f t="shared" si="7"/>
        <v>10224</v>
      </c>
      <c r="W8" s="22">
        <f t="shared" si="8"/>
        <v>15336</v>
      </c>
      <c r="X8" s="27">
        <f t="shared" si="9"/>
        <v>24000</v>
      </c>
    </row>
    <row r="9" spans="2:24" x14ac:dyDescent="0.25">
      <c r="C9" s="7" t="s">
        <v>26</v>
      </c>
      <c r="D9" s="9">
        <v>0.35</v>
      </c>
      <c r="G9" s="4">
        <v>6</v>
      </c>
      <c r="H9" s="4" t="s">
        <v>48</v>
      </c>
      <c r="I9" s="4">
        <v>7</v>
      </c>
      <c r="J9" s="4">
        <v>1</v>
      </c>
      <c r="K9" s="4">
        <f t="shared" si="2"/>
        <v>7</v>
      </c>
      <c r="L9" s="2" t="s">
        <v>21</v>
      </c>
      <c r="M9">
        <v>0</v>
      </c>
      <c r="N9" s="4">
        <v>56</v>
      </c>
      <c r="O9" s="4">
        <f t="shared" si="3"/>
        <v>56</v>
      </c>
      <c r="P9" s="4"/>
      <c r="Q9" s="21">
        <f t="shared" si="0"/>
        <v>1001</v>
      </c>
      <c r="R9" s="22">
        <f t="shared" si="1"/>
        <v>490</v>
      </c>
      <c r="S9" s="22">
        <f t="shared" si="4"/>
        <v>0</v>
      </c>
      <c r="T9" s="22">
        <f t="shared" si="5"/>
        <v>1491</v>
      </c>
      <c r="U9" s="23">
        <f t="shared" si="6"/>
        <v>2236.5</v>
      </c>
      <c r="V9" s="22">
        <f t="shared" si="7"/>
        <v>2982</v>
      </c>
      <c r="W9" s="22">
        <f t="shared" si="8"/>
        <v>4473</v>
      </c>
      <c r="X9" s="27">
        <f t="shared" si="9"/>
        <v>7000</v>
      </c>
    </row>
    <row r="10" spans="2:24" x14ac:dyDescent="0.25">
      <c r="C10" s="7" t="s">
        <v>27</v>
      </c>
      <c r="D10" s="9">
        <v>1</v>
      </c>
      <c r="G10" s="4">
        <v>7</v>
      </c>
      <c r="H10" s="4" t="s">
        <v>49</v>
      </c>
      <c r="I10" s="4">
        <v>78</v>
      </c>
      <c r="J10" s="4">
        <v>1</v>
      </c>
      <c r="K10" s="4">
        <f t="shared" si="2"/>
        <v>78</v>
      </c>
      <c r="L10" s="2" t="s">
        <v>21</v>
      </c>
      <c r="M10">
        <v>10</v>
      </c>
      <c r="N10" s="4">
        <v>13</v>
      </c>
      <c r="O10" s="4">
        <f t="shared" si="3"/>
        <v>613</v>
      </c>
      <c r="P10" s="4"/>
      <c r="Q10" s="21">
        <f t="shared" si="0"/>
        <v>11154</v>
      </c>
      <c r="R10" s="22">
        <f t="shared" si="1"/>
        <v>5363.75</v>
      </c>
      <c r="S10" s="22">
        <f t="shared" si="4"/>
        <v>0</v>
      </c>
      <c r="T10" s="22">
        <f t="shared" si="5"/>
        <v>16517.75</v>
      </c>
      <c r="U10" s="23">
        <f t="shared" si="6"/>
        <v>24776.625</v>
      </c>
      <c r="V10" s="22">
        <f t="shared" si="7"/>
        <v>33035.5</v>
      </c>
      <c r="W10" s="22">
        <f t="shared" si="8"/>
        <v>49553.25</v>
      </c>
      <c r="X10" s="27">
        <f t="shared" si="9"/>
        <v>78000</v>
      </c>
    </row>
    <row r="11" spans="2:24" x14ac:dyDescent="0.25">
      <c r="C11" s="7" t="s">
        <v>28</v>
      </c>
      <c r="D11" s="9">
        <v>0.01</v>
      </c>
      <c r="G11" s="4">
        <v>8</v>
      </c>
      <c r="H11" s="4" t="s">
        <v>51</v>
      </c>
      <c r="I11" s="4">
        <v>9</v>
      </c>
      <c r="J11" s="4">
        <v>1</v>
      </c>
      <c r="K11" s="4">
        <f t="shared" si="2"/>
        <v>9</v>
      </c>
      <c r="L11" s="2" t="s">
        <v>21</v>
      </c>
      <c r="M11">
        <v>1</v>
      </c>
      <c r="N11" s="4">
        <v>31</v>
      </c>
      <c r="O11" s="4">
        <f t="shared" si="3"/>
        <v>91</v>
      </c>
      <c r="P11" s="4"/>
      <c r="Q11" s="21">
        <f t="shared" si="0"/>
        <v>1287</v>
      </c>
      <c r="R11" s="22">
        <f t="shared" si="1"/>
        <v>796.25</v>
      </c>
      <c r="S11" s="22">
        <f t="shared" si="4"/>
        <v>0</v>
      </c>
      <c r="T11" s="22">
        <f t="shared" si="5"/>
        <v>2083.25</v>
      </c>
      <c r="U11" s="23">
        <f t="shared" si="6"/>
        <v>3124.875</v>
      </c>
      <c r="V11" s="22">
        <f t="shared" si="7"/>
        <v>4166.5</v>
      </c>
      <c r="W11" s="22">
        <f t="shared" si="8"/>
        <v>6249.75</v>
      </c>
      <c r="X11" s="27">
        <f t="shared" si="9"/>
        <v>9000</v>
      </c>
    </row>
    <row r="12" spans="2:24" x14ac:dyDescent="0.25">
      <c r="C12" s="7"/>
      <c r="D12" s="9"/>
      <c r="G12" s="4">
        <v>9</v>
      </c>
      <c r="H12" s="4" t="s">
        <v>52</v>
      </c>
      <c r="I12" s="4">
        <v>147</v>
      </c>
      <c r="J12" s="4">
        <v>1</v>
      </c>
      <c r="K12" s="4">
        <f t="shared" si="2"/>
        <v>147</v>
      </c>
      <c r="L12" s="29" t="s">
        <v>21</v>
      </c>
      <c r="M12">
        <v>20</v>
      </c>
      <c r="N12" s="4">
        <v>33</v>
      </c>
      <c r="O12" s="4">
        <f t="shared" si="3"/>
        <v>1233</v>
      </c>
      <c r="P12" s="4"/>
      <c r="Q12" s="21">
        <f t="shared" ref="Q12:Q19" si="10">$E$27*K12</f>
        <v>21021</v>
      </c>
      <c r="R12" s="22">
        <f t="shared" ref="R12:R19" si="11">$D$24*$E$25*(O12/60)</f>
        <v>10788.75</v>
      </c>
      <c r="S12" s="22">
        <f t="shared" ref="S12:S19" si="12">(5000*P12)</f>
        <v>0</v>
      </c>
      <c r="T12" s="22">
        <f t="shared" ref="T12:T19" si="13">SUM(Q12:S12)</f>
        <v>31809.75</v>
      </c>
      <c r="U12" s="23">
        <f t="shared" ref="U12:U19" si="14">T12+(($U$3/100)*T12)</f>
        <v>47714.625</v>
      </c>
      <c r="V12" s="22">
        <f t="shared" ref="V12:V19" si="15">SUM(Q12:S12)*$V$3</f>
        <v>63619.5</v>
      </c>
      <c r="W12" s="22">
        <f t="shared" ref="W12:W19" si="16">T12*$W$3</f>
        <v>95429.25</v>
      </c>
      <c r="X12" s="27">
        <f t="shared" ref="X12:X19" si="17">$X$3*K12</f>
        <v>147000</v>
      </c>
    </row>
    <row r="13" spans="2:24" x14ac:dyDescent="0.25">
      <c r="C13" s="7"/>
      <c r="D13" s="9"/>
      <c r="G13" s="4">
        <v>10</v>
      </c>
      <c r="H13" s="4" t="s">
        <v>53</v>
      </c>
      <c r="I13" s="4">
        <v>133</v>
      </c>
      <c r="J13" s="4">
        <v>1</v>
      </c>
      <c r="K13" s="4">
        <f t="shared" si="2"/>
        <v>133</v>
      </c>
      <c r="L13" s="29" t="s">
        <v>21</v>
      </c>
      <c r="M13">
        <v>18</v>
      </c>
      <c r="N13" s="4">
        <v>46</v>
      </c>
      <c r="O13" s="4">
        <f t="shared" si="3"/>
        <v>1126</v>
      </c>
      <c r="P13" s="4"/>
      <c r="Q13" s="21">
        <f t="shared" si="10"/>
        <v>19019</v>
      </c>
      <c r="R13" s="22">
        <f t="shared" si="11"/>
        <v>9852.5</v>
      </c>
      <c r="S13" s="22">
        <f t="shared" si="12"/>
        <v>0</v>
      </c>
      <c r="T13" s="22">
        <f t="shared" si="13"/>
        <v>28871.5</v>
      </c>
      <c r="U13" s="23">
        <f t="shared" si="14"/>
        <v>43307.25</v>
      </c>
      <c r="V13" s="22">
        <f t="shared" si="15"/>
        <v>57743</v>
      </c>
      <c r="W13" s="22">
        <f t="shared" si="16"/>
        <v>86614.5</v>
      </c>
      <c r="X13" s="27">
        <f t="shared" si="17"/>
        <v>133000</v>
      </c>
    </row>
    <row r="14" spans="2:24" x14ac:dyDescent="0.25">
      <c r="C14" s="7"/>
      <c r="D14" s="9"/>
      <c r="G14" s="4">
        <v>11</v>
      </c>
      <c r="H14" s="4" t="s">
        <v>54</v>
      </c>
      <c r="I14" s="4">
        <v>136</v>
      </c>
      <c r="J14" s="4">
        <v>1</v>
      </c>
      <c r="K14" s="4">
        <f t="shared" si="2"/>
        <v>136</v>
      </c>
      <c r="L14" s="29" t="s">
        <v>21</v>
      </c>
      <c r="M14">
        <v>19</v>
      </c>
      <c r="N14" s="4">
        <v>12</v>
      </c>
      <c r="O14" s="4">
        <f t="shared" si="3"/>
        <v>1152</v>
      </c>
      <c r="P14" s="4"/>
      <c r="Q14" s="21">
        <f t="shared" si="10"/>
        <v>19448</v>
      </c>
      <c r="R14" s="22">
        <f t="shared" si="11"/>
        <v>10080</v>
      </c>
      <c r="S14" s="22">
        <f t="shared" si="12"/>
        <v>0</v>
      </c>
      <c r="T14" s="22">
        <f t="shared" si="13"/>
        <v>29528</v>
      </c>
      <c r="U14" s="23">
        <f t="shared" si="14"/>
        <v>44292</v>
      </c>
      <c r="V14" s="22">
        <f t="shared" si="15"/>
        <v>59056</v>
      </c>
      <c r="W14" s="22">
        <f t="shared" si="16"/>
        <v>88584</v>
      </c>
      <c r="X14" s="27">
        <f t="shared" si="17"/>
        <v>136000</v>
      </c>
    </row>
    <row r="15" spans="2:24" x14ac:dyDescent="0.25">
      <c r="C15" s="7"/>
      <c r="D15" s="9"/>
      <c r="G15" s="4">
        <v>12</v>
      </c>
      <c r="H15" s="4" t="s">
        <v>55</v>
      </c>
      <c r="I15" s="4">
        <v>151</v>
      </c>
      <c r="J15" s="4">
        <v>1</v>
      </c>
      <c r="K15" s="4">
        <f t="shared" si="2"/>
        <v>151</v>
      </c>
      <c r="L15" s="29" t="s">
        <v>21</v>
      </c>
      <c r="M15">
        <v>20</v>
      </c>
      <c r="N15" s="4">
        <v>44</v>
      </c>
      <c r="O15" s="4">
        <f t="shared" si="3"/>
        <v>1244</v>
      </c>
      <c r="P15" s="4"/>
      <c r="Q15" s="21">
        <f t="shared" si="10"/>
        <v>21593</v>
      </c>
      <c r="R15" s="22">
        <f t="shared" si="11"/>
        <v>10885</v>
      </c>
      <c r="S15" s="22">
        <f t="shared" si="12"/>
        <v>0</v>
      </c>
      <c r="T15" s="22">
        <f t="shared" si="13"/>
        <v>32478</v>
      </c>
      <c r="U15" s="23">
        <f t="shared" si="14"/>
        <v>48717</v>
      </c>
      <c r="V15" s="22">
        <f t="shared" si="15"/>
        <v>64956</v>
      </c>
      <c r="W15" s="22">
        <f t="shared" si="16"/>
        <v>97434</v>
      </c>
      <c r="X15" s="27">
        <f t="shared" si="17"/>
        <v>151000</v>
      </c>
    </row>
    <row r="16" spans="2:24" x14ac:dyDescent="0.25">
      <c r="C16" s="7"/>
      <c r="D16" s="9"/>
      <c r="G16" s="4">
        <v>13</v>
      </c>
      <c r="H16" s="4" t="s">
        <v>56</v>
      </c>
      <c r="I16" s="4">
        <v>109</v>
      </c>
      <c r="J16" s="4">
        <v>1</v>
      </c>
      <c r="K16" s="4">
        <f t="shared" si="2"/>
        <v>109</v>
      </c>
      <c r="L16" s="29" t="s">
        <v>21</v>
      </c>
      <c r="M16">
        <v>14</v>
      </c>
      <c r="N16" s="4">
        <v>46</v>
      </c>
      <c r="O16" s="4">
        <f t="shared" si="3"/>
        <v>886</v>
      </c>
      <c r="P16" s="4"/>
      <c r="Q16" s="21">
        <f t="shared" si="10"/>
        <v>15587</v>
      </c>
      <c r="R16" s="22">
        <f t="shared" si="11"/>
        <v>7752.5</v>
      </c>
      <c r="S16" s="22">
        <f t="shared" si="12"/>
        <v>0</v>
      </c>
      <c r="T16" s="22">
        <f t="shared" si="13"/>
        <v>23339.5</v>
      </c>
      <c r="U16" s="23">
        <f t="shared" si="14"/>
        <v>35009.25</v>
      </c>
      <c r="V16" s="22">
        <f t="shared" si="15"/>
        <v>46679</v>
      </c>
      <c r="W16" s="22">
        <f t="shared" si="16"/>
        <v>70018.5</v>
      </c>
      <c r="X16" s="27">
        <f t="shared" si="17"/>
        <v>109000</v>
      </c>
    </row>
    <row r="17" spans="2:24" x14ac:dyDescent="0.25">
      <c r="C17" s="7"/>
      <c r="D17" s="9"/>
      <c r="G17" s="4">
        <v>14</v>
      </c>
      <c r="H17" s="4" t="s">
        <v>58</v>
      </c>
      <c r="I17" s="4">
        <v>44</v>
      </c>
      <c r="J17" s="4">
        <v>1</v>
      </c>
      <c r="K17" s="4">
        <f t="shared" si="2"/>
        <v>44</v>
      </c>
      <c r="L17" s="29" t="s">
        <v>21</v>
      </c>
      <c r="M17">
        <v>5</v>
      </c>
      <c r="N17" s="4">
        <v>52</v>
      </c>
      <c r="O17" s="4">
        <f t="shared" si="3"/>
        <v>352</v>
      </c>
      <c r="P17" s="4"/>
      <c r="Q17" s="21">
        <f t="shared" si="10"/>
        <v>6292</v>
      </c>
      <c r="R17" s="22">
        <f t="shared" si="11"/>
        <v>3080</v>
      </c>
      <c r="S17" s="22">
        <f t="shared" si="12"/>
        <v>0</v>
      </c>
      <c r="T17" s="22">
        <f t="shared" si="13"/>
        <v>9372</v>
      </c>
      <c r="U17" s="23">
        <f t="shared" si="14"/>
        <v>14058</v>
      </c>
      <c r="V17" s="22">
        <f t="shared" si="15"/>
        <v>18744</v>
      </c>
      <c r="W17" s="22">
        <f t="shared" si="16"/>
        <v>28116</v>
      </c>
      <c r="X17" s="27">
        <f t="shared" si="17"/>
        <v>44000</v>
      </c>
    </row>
    <row r="18" spans="2:24" x14ac:dyDescent="0.25">
      <c r="C18" s="7"/>
      <c r="D18" s="9"/>
      <c r="G18" s="4">
        <v>15</v>
      </c>
      <c r="H18" s="4" t="s">
        <v>59</v>
      </c>
      <c r="I18" s="4">
        <v>50</v>
      </c>
      <c r="J18" s="4">
        <v>1</v>
      </c>
      <c r="K18" s="4">
        <f t="shared" si="2"/>
        <v>50</v>
      </c>
      <c r="L18" s="29" t="s">
        <v>21</v>
      </c>
      <c r="M18">
        <v>6</v>
      </c>
      <c r="N18" s="4">
        <v>37</v>
      </c>
      <c r="O18" s="4">
        <f t="shared" si="3"/>
        <v>397</v>
      </c>
      <c r="P18" s="4"/>
      <c r="Q18" s="21">
        <f t="shared" si="10"/>
        <v>7150</v>
      </c>
      <c r="R18" s="22">
        <f t="shared" si="11"/>
        <v>3473.75</v>
      </c>
      <c r="S18" s="22">
        <f t="shared" si="12"/>
        <v>0</v>
      </c>
      <c r="T18" s="22">
        <f t="shared" si="13"/>
        <v>10623.75</v>
      </c>
      <c r="U18" s="23">
        <f t="shared" si="14"/>
        <v>15935.625</v>
      </c>
      <c r="V18" s="22">
        <f t="shared" si="15"/>
        <v>21247.5</v>
      </c>
      <c r="W18" s="22">
        <f t="shared" si="16"/>
        <v>31871.25</v>
      </c>
      <c r="X18" s="27">
        <f t="shared" si="17"/>
        <v>50000</v>
      </c>
    </row>
    <row r="19" spans="2:24" x14ac:dyDescent="0.25">
      <c r="C19" s="7"/>
      <c r="D19" s="9"/>
      <c r="G19" s="4">
        <v>16</v>
      </c>
      <c r="H19" s="4" t="s">
        <v>60</v>
      </c>
      <c r="I19" s="4">
        <v>2</v>
      </c>
      <c r="J19" s="4">
        <v>1</v>
      </c>
      <c r="K19" s="4">
        <f t="shared" si="2"/>
        <v>2</v>
      </c>
      <c r="L19" s="29" t="s">
        <v>21</v>
      </c>
      <c r="M19">
        <v>0</v>
      </c>
      <c r="N19" s="4">
        <v>18</v>
      </c>
      <c r="O19" s="4">
        <f t="shared" si="3"/>
        <v>18</v>
      </c>
      <c r="P19" s="4"/>
      <c r="Q19" s="21">
        <f t="shared" si="10"/>
        <v>286</v>
      </c>
      <c r="R19" s="22">
        <f t="shared" si="11"/>
        <v>157.5</v>
      </c>
      <c r="S19" s="22">
        <f t="shared" si="12"/>
        <v>0</v>
      </c>
      <c r="T19" s="22">
        <f t="shared" si="13"/>
        <v>443.5</v>
      </c>
      <c r="U19" s="23">
        <f t="shared" si="14"/>
        <v>665.25</v>
      </c>
      <c r="V19" s="22">
        <f t="shared" si="15"/>
        <v>887</v>
      </c>
      <c r="W19" s="22">
        <f t="shared" si="16"/>
        <v>1330.5</v>
      </c>
      <c r="X19" s="27">
        <f t="shared" si="17"/>
        <v>2000</v>
      </c>
    </row>
    <row r="20" spans="2:24" x14ac:dyDescent="0.25">
      <c r="G20" s="4">
        <v>17</v>
      </c>
      <c r="H20" s="4" t="s">
        <v>68</v>
      </c>
      <c r="I20" s="4">
        <v>31</v>
      </c>
      <c r="J20" s="4">
        <v>1</v>
      </c>
      <c r="K20" s="4">
        <f t="shared" si="2"/>
        <v>31</v>
      </c>
      <c r="L20" s="29" t="s">
        <v>21</v>
      </c>
      <c r="M20">
        <v>4</v>
      </c>
      <c r="N20" s="4">
        <v>34</v>
      </c>
      <c r="O20" s="4">
        <f t="shared" si="3"/>
        <v>274</v>
      </c>
      <c r="P20" s="4"/>
      <c r="Q20" s="21">
        <f t="shared" ref="Q20:Q27" si="18">$E$27*K20</f>
        <v>4433</v>
      </c>
      <c r="R20" s="22">
        <f t="shared" ref="R20:R27" si="19">$D$24*$E$25*(O20/60)</f>
        <v>2397.5</v>
      </c>
      <c r="S20" s="22">
        <f t="shared" si="4"/>
        <v>0</v>
      </c>
      <c r="T20" s="22">
        <f t="shared" si="5"/>
        <v>6830.5</v>
      </c>
      <c r="U20" s="23">
        <f t="shared" si="6"/>
        <v>10245.75</v>
      </c>
      <c r="V20" s="22">
        <f t="shared" si="7"/>
        <v>13661</v>
      </c>
      <c r="W20" s="22">
        <f t="shared" si="8"/>
        <v>20491.5</v>
      </c>
      <c r="X20" s="27">
        <f t="shared" si="9"/>
        <v>31000</v>
      </c>
    </row>
    <row r="21" spans="2:24" x14ac:dyDescent="0.25">
      <c r="B21" s="6"/>
      <c r="G21" s="4">
        <v>18</v>
      </c>
      <c r="H21" s="4" t="s">
        <v>69</v>
      </c>
      <c r="I21" s="4">
        <v>37</v>
      </c>
      <c r="J21" s="4">
        <v>1</v>
      </c>
      <c r="K21" s="4">
        <f t="shared" si="2"/>
        <v>37</v>
      </c>
      <c r="L21" s="2" t="s">
        <v>21</v>
      </c>
      <c r="M21">
        <v>5</v>
      </c>
      <c r="N21" s="4">
        <v>9</v>
      </c>
      <c r="O21" s="4">
        <f t="shared" si="3"/>
        <v>309</v>
      </c>
      <c r="P21" s="4"/>
      <c r="Q21" s="21">
        <f t="shared" si="18"/>
        <v>5291</v>
      </c>
      <c r="R21" s="22">
        <f t="shared" si="19"/>
        <v>2703.75</v>
      </c>
      <c r="S21" s="22">
        <f t="shared" si="4"/>
        <v>0</v>
      </c>
      <c r="T21" s="22">
        <f t="shared" si="5"/>
        <v>7994.75</v>
      </c>
      <c r="U21" s="23">
        <f t="shared" si="6"/>
        <v>11992.125</v>
      </c>
      <c r="V21" s="22">
        <f t="shared" si="7"/>
        <v>15989.5</v>
      </c>
      <c r="W21" s="22">
        <f t="shared" si="8"/>
        <v>23984.25</v>
      </c>
      <c r="X21" s="27">
        <f t="shared" si="9"/>
        <v>37000</v>
      </c>
    </row>
    <row r="22" spans="2:24" x14ac:dyDescent="0.25">
      <c r="B22" s="6"/>
      <c r="G22" s="4">
        <v>19</v>
      </c>
      <c r="H22" s="4" t="s">
        <v>70</v>
      </c>
      <c r="I22" s="4">
        <v>39</v>
      </c>
      <c r="J22" s="4">
        <v>1</v>
      </c>
      <c r="K22" s="4">
        <f t="shared" si="2"/>
        <v>39</v>
      </c>
      <c r="L22" s="2" t="s">
        <v>21</v>
      </c>
      <c r="M22">
        <v>5</v>
      </c>
      <c r="N22" s="4">
        <v>26</v>
      </c>
      <c r="O22" s="4">
        <f t="shared" si="3"/>
        <v>326</v>
      </c>
      <c r="P22" s="4"/>
      <c r="Q22" s="21">
        <f t="shared" si="18"/>
        <v>5577</v>
      </c>
      <c r="R22" s="22">
        <f t="shared" si="19"/>
        <v>2852.5</v>
      </c>
      <c r="S22" s="22">
        <f t="shared" si="4"/>
        <v>0</v>
      </c>
      <c r="T22" s="22">
        <f t="shared" si="5"/>
        <v>8429.5</v>
      </c>
      <c r="U22" s="23">
        <f t="shared" si="6"/>
        <v>12644.25</v>
      </c>
      <c r="V22" s="22">
        <f t="shared" si="7"/>
        <v>16859</v>
      </c>
      <c r="W22" s="22">
        <f t="shared" si="8"/>
        <v>25288.5</v>
      </c>
      <c r="X22" s="27">
        <f t="shared" si="9"/>
        <v>39000</v>
      </c>
    </row>
    <row r="23" spans="2:24" x14ac:dyDescent="0.25">
      <c r="B23" s="6"/>
      <c r="G23" s="4">
        <v>20</v>
      </c>
      <c r="H23" s="10" t="s">
        <v>71</v>
      </c>
      <c r="I23" s="4">
        <v>39</v>
      </c>
      <c r="J23" s="4">
        <v>1</v>
      </c>
      <c r="K23" s="4">
        <f t="shared" si="2"/>
        <v>39</v>
      </c>
      <c r="L23" s="2" t="s">
        <v>21</v>
      </c>
      <c r="M23">
        <v>5</v>
      </c>
      <c r="N23" s="4">
        <v>27</v>
      </c>
      <c r="O23" s="4">
        <f t="shared" si="3"/>
        <v>327</v>
      </c>
      <c r="P23" s="4"/>
      <c r="Q23" s="21">
        <f t="shared" si="18"/>
        <v>5577</v>
      </c>
      <c r="R23" s="22">
        <f t="shared" si="19"/>
        <v>2861.25</v>
      </c>
      <c r="S23" s="22">
        <f t="shared" si="4"/>
        <v>0</v>
      </c>
      <c r="T23" s="22">
        <f t="shared" si="5"/>
        <v>8438.25</v>
      </c>
      <c r="U23" s="23">
        <f t="shared" si="6"/>
        <v>12657.375</v>
      </c>
      <c r="V23" s="22">
        <f t="shared" si="7"/>
        <v>16876.5</v>
      </c>
      <c r="W23" s="22">
        <f t="shared" si="8"/>
        <v>25314.75</v>
      </c>
      <c r="X23" s="27">
        <f t="shared" si="9"/>
        <v>39000</v>
      </c>
    </row>
    <row r="24" spans="2:24" x14ac:dyDescent="0.25">
      <c r="B24" s="6"/>
      <c r="C24" s="6" t="s">
        <v>29</v>
      </c>
      <c r="D24" s="18">
        <v>1500</v>
      </c>
      <c r="E24" s="19"/>
      <c r="F24" s="19"/>
      <c r="G24" s="4">
        <v>21</v>
      </c>
      <c r="H24" s="4" t="s">
        <v>72</v>
      </c>
      <c r="I24" s="4">
        <v>104</v>
      </c>
      <c r="J24" s="4">
        <v>1</v>
      </c>
      <c r="K24" s="4">
        <f t="shared" si="2"/>
        <v>104</v>
      </c>
      <c r="L24" s="2" t="s">
        <v>21</v>
      </c>
      <c r="M24">
        <v>14</v>
      </c>
      <c r="N24" s="4">
        <v>37</v>
      </c>
      <c r="O24" s="4">
        <f t="shared" si="3"/>
        <v>877</v>
      </c>
      <c r="P24" s="4"/>
      <c r="Q24" s="21">
        <f t="shared" si="18"/>
        <v>14872</v>
      </c>
      <c r="R24" s="22">
        <f t="shared" si="19"/>
        <v>7673.75</v>
      </c>
      <c r="S24" s="22">
        <f t="shared" si="4"/>
        <v>0</v>
      </c>
      <c r="T24" s="22">
        <f t="shared" si="5"/>
        <v>22545.75</v>
      </c>
      <c r="U24" s="23">
        <f t="shared" si="6"/>
        <v>33818.625</v>
      </c>
      <c r="V24" s="22">
        <f t="shared" si="7"/>
        <v>45091.5</v>
      </c>
      <c r="W24" s="22">
        <f t="shared" si="8"/>
        <v>67637.25</v>
      </c>
      <c r="X24" s="27">
        <f t="shared" si="9"/>
        <v>104000</v>
      </c>
    </row>
    <row r="25" spans="2:24" x14ac:dyDescent="0.25">
      <c r="B25" s="6"/>
      <c r="C25" t="s">
        <v>32</v>
      </c>
      <c r="D25" s="20">
        <v>350</v>
      </c>
      <c r="E25" s="2">
        <f>D25/1000</f>
        <v>0.35</v>
      </c>
      <c r="F25" s="3"/>
      <c r="G25" s="4">
        <v>22</v>
      </c>
      <c r="H25" s="4" t="s">
        <v>73</v>
      </c>
      <c r="I25" s="4">
        <v>54</v>
      </c>
      <c r="J25" s="4">
        <v>1</v>
      </c>
      <c r="K25" s="4">
        <f t="shared" si="2"/>
        <v>54</v>
      </c>
      <c r="L25" s="2" t="s">
        <v>21</v>
      </c>
      <c r="M25">
        <v>7</v>
      </c>
      <c r="N25" s="4">
        <v>24</v>
      </c>
      <c r="O25" s="4">
        <f t="shared" si="3"/>
        <v>444</v>
      </c>
      <c r="P25" s="4"/>
      <c r="Q25" s="21">
        <f t="shared" si="18"/>
        <v>7722</v>
      </c>
      <c r="R25" s="22">
        <f t="shared" si="19"/>
        <v>3885</v>
      </c>
      <c r="S25" s="22">
        <f t="shared" si="4"/>
        <v>0</v>
      </c>
      <c r="T25" s="22">
        <f t="shared" si="5"/>
        <v>11607</v>
      </c>
      <c r="U25" s="23">
        <f t="shared" si="6"/>
        <v>17410.5</v>
      </c>
      <c r="V25" s="22">
        <f t="shared" si="7"/>
        <v>23214</v>
      </c>
      <c r="W25" s="22">
        <f t="shared" si="8"/>
        <v>34821</v>
      </c>
      <c r="X25" s="27">
        <f t="shared" si="9"/>
        <v>54000</v>
      </c>
    </row>
    <row r="26" spans="2:24" x14ac:dyDescent="0.25">
      <c r="B26" s="6"/>
      <c r="C26" s="6" t="s">
        <v>30</v>
      </c>
      <c r="G26" s="4">
        <v>23</v>
      </c>
      <c r="H26" s="4" t="s">
        <v>74</v>
      </c>
      <c r="I26" s="4">
        <v>16</v>
      </c>
      <c r="J26" s="4">
        <v>1</v>
      </c>
      <c r="K26" s="4">
        <f t="shared" si="2"/>
        <v>16</v>
      </c>
      <c r="L26" s="2" t="s">
        <v>21</v>
      </c>
      <c r="M26">
        <v>2</v>
      </c>
      <c r="N26" s="4">
        <v>23</v>
      </c>
      <c r="O26" s="4">
        <f t="shared" si="3"/>
        <v>143</v>
      </c>
      <c r="P26" s="4"/>
      <c r="Q26" s="21">
        <f t="shared" si="18"/>
        <v>2288</v>
      </c>
      <c r="R26" s="22">
        <f t="shared" si="19"/>
        <v>1251.25</v>
      </c>
      <c r="S26" s="22">
        <f t="shared" si="4"/>
        <v>0</v>
      </c>
      <c r="T26" s="22">
        <f t="shared" si="5"/>
        <v>3539.25</v>
      </c>
      <c r="U26" s="23">
        <f t="shared" si="6"/>
        <v>5308.875</v>
      </c>
      <c r="V26" s="22">
        <f t="shared" si="7"/>
        <v>7078.5</v>
      </c>
      <c r="W26" s="22">
        <f t="shared" si="8"/>
        <v>10617.75</v>
      </c>
      <c r="X26" s="27">
        <f t="shared" si="9"/>
        <v>16000</v>
      </c>
    </row>
    <row r="27" spans="2:24" x14ac:dyDescent="0.25">
      <c r="B27" s="6"/>
      <c r="C27" s="6" t="s">
        <v>50</v>
      </c>
      <c r="D27" s="1">
        <v>143000</v>
      </c>
      <c r="E27" s="1">
        <f>D27/1000</f>
        <v>143</v>
      </c>
      <c r="F27" s="1"/>
      <c r="G27" s="4">
        <v>24</v>
      </c>
      <c r="H27" s="4" t="s">
        <v>75</v>
      </c>
      <c r="I27" s="4">
        <v>255</v>
      </c>
      <c r="J27" s="4">
        <v>1</v>
      </c>
      <c r="K27" s="4">
        <f t="shared" si="2"/>
        <v>255</v>
      </c>
      <c r="L27" s="2" t="s">
        <v>21</v>
      </c>
      <c r="M27">
        <v>27</v>
      </c>
      <c r="N27" s="4">
        <v>33</v>
      </c>
      <c r="O27" s="4">
        <f t="shared" si="3"/>
        <v>1653</v>
      </c>
      <c r="P27" s="4"/>
      <c r="Q27" s="21">
        <f t="shared" si="18"/>
        <v>36465</v>
      </c>
      <c r="R27" s="22">
        <f t="shared" si="19"/>
        <v>14463.75</v>
      </c>
      <c r="S27" s="22">
        <f t="shared" si="4"/>
        <v>0</v>
      </c>
      <c r="T27" s="22">
        <f t="shared" si="5"/>
        <v>50928.75</v>
      </c>
      <c r="U27" s="23">
        <f t="shared" si="6"/>
        <v>76393.125</v>
      </c>
      <c r="V27" s="22">
        <f t="shared" si="7"/>
        <v>101857.5</v>
      </c>
      <c r="W27" s="22">
        <f t="shared" si="8"/>
        <v>152786.25</v>
      </c>
      <c r="X27" s="27">
        <f t="shared" si="9"/>
        <v>255000</v>
      </c>
    </row>
    <row r="28" spans="2:24" x14ac:dyDescent="0.25">
      <c r="B28" s="6"/>
      <c r="C28" s="6"/>
      <c r="D28" s="4"/>
      <c r="E28" s="6"/>
      <c r="F28" s="6"/>
      <c r="G28" s="4"/>
      <c r="H28" s="4"/>
      <c r="I28" s="11"/>
      <c r="J28" s="4"/>
      <c r="K28" s="4"/>
      <c r="L28" s="12"/>
      <c r="M28" s="12"/>
      <c r="N28" s="12"/>
      <c r="O28" s="4">
        <f t="shared" si="3"/>
        <v>0</v>
      </c>
      <c r="P28" s="12"/>
      <c r="Q28" s="12"/>
      <c r="R28" s="4"/>
      <c r="S28" s="2"/>
      <c r="T28" s="2"/>
      <c r="U28" s="2"/>
      <c r="V28" s="13"/>
    </row>
    <row r="29" spans="2:24" x14ac:dyDescent="0.25">
      <c r="B29" s="6"/>
      <c r="C29" s="41"/>
      <c r="D29" s="41"/>
      <c r="E29" s="41"/>
      <c r="F29" s="41"/>
      <c r="G29" s="41"/>
      <c r="H29" s="41"/>
      <c r="I29" s="41"/>
      <c r="J29" s="41"/>
      <c r="K29" s="41"/>
      <c r="L29" s="12"/>
      <c r="M29" s="12"/>
      <c r="N29" s="12"/>
      <c r="O29" s="12"/>
      <c r="P29" s="12" t="s">
        <v>8</v>
      </c>
      <c r="Q29" s="24">
        <f t="shared" ref="Q29:X29" si="20">SUM(Q4:Q27)</f>
        <v>240383</v>
      </c>
      <c r="R29" s="24">
        <f t="shared" si="20"/>
        <v>119630</v>
      </c>
      <c r="S29" s="24">
        <f t="shared" si="20"/>
        <v>0</v>
      </c>
      <c r="T29" s="24">
        <f t="shared" si="20"/>
        <v>360013</v>
      </c>
      <c r="U29" s="24">
        <f t="shared" si="20"/>
        <v>540019.5</v>
      </c>
      <c r="V29" s="24">
        <f t="shared" si="20"/>
        <v>720026</v>
      </c>
      <c r="W29" s="24">
        <f t="shared" si="20"/>
        <v>1080039</v>
      </c>
      <c r="X29" s="24">
        <f t="shared" si="20"/>
        <v>1681000</v>
      </c>
    </row>
    <row r="30" spans="2:24" x14ac:dyDescent="0.25">
      <c r="B30" s="6"/>
      <c r="C30" s="6"/>
      <c r="D30" s="4" t="s">
        <v>62</v>
      </c>
      <c r="E30" s="6" t="s">
        <v>61</v>
      </c>
      <c r="F30" s="6"/>
      <c r="G30" s="4"/>
      <c r="H30" s="12"/>
      <c r="I30" s="12"/>
      <c r="J30" s="12"/>
      <c r="K30" s="12"/>
      <c r="L30" s="4"/>
      <c r="M30" s="4"/>
      <c r="N30" s="14"/>
      <c r="O30" s="2"/>
      <c r="P30" s="4"/>
      <c r="Q30" s="16"/>
      <c r="R30" s="16"/>
      <c r="S30" s="16"/>
      <c r="T30" s="16"/>
      <c r="U30" s="16"/>
      <c r="V30" s="16"/>
      <c r="W30" s="16"/>
      <c r="X30" s="1"/>
    </row>
    <row r="31" spans="2:24" x14ac:dyDescent="0.25">
      <c r="B31" s="6"/>
      <c r="C31" s="6" t="s">
        <v>57</v>
      </c>
      <c r="D31" s="34">
        <f>SUM(O5:O29)</f>
        <v>13002</v>
      </c>
      <c r="E31" s="35">
        <f>(D31/60)/24</f>
        <v>9.0291666666666668</v>
      </c>
      <c r="F31" s="17"/>
      <c r="G31" s="15"/>
      <c r="H31" s="15"/>
      <c r="I31" s="18"/>
      <c r="J31" s="13"/>
      <c r="K31" s="4"/>
      <c r="L31" s="6"/>
      <c r="M31" s="6"/>
      <c r="N31" s="5"/>
      <c r="O31" s="5"/>
      <c r="P31" s="6"/>
      <c r="Q31" s="6"/>
      <c r="R31" s="6"/>
      <c r="S31" s="6"/>
      <c r="T31" s="6"/>
    </row>
    <row r="32" spans="2:24" x14ac:dyDescent="0.25">
      <c r="B32" s="6"/>
      <c r="C32" t="s">
        <v>63</v>
      </c>
      <c r="D32" s="30">
        <f>SUM(O4:O10)</f>
        <v>2820</v>
      </c>
      <c r="E32" s="35">
        <f>(D32/60)/24</f>
        <v>1.9583333333333333</v>
      </c>
      <c r="G32" s="4"/>
      <c r="H32" s="4"/>
      <c r="I32" s="6"/>
      <c r="J32" s="6"/>
      <c r="K32" s="6"/>
      <c r="L32" s="6"/>
      <c r="M32" s="6"/>
      <c r="N32" s="6"/>
      <c r="O32" s="6"/>
      <c r="P32" s="6"/>
      <c r="Q32" s="27"/>
    </row>
    <row r="33" spans="2:17" x14ac:dyDescent="0.25">
      <c r="B33" s="6"/>
      <c r="C33" t="s">
        <v>64</v>
      </c>
      <c r="D33" s="30">
        <f>SUM(O12:O27)</f>
        <v>10761</v>
      </c>
      <c r="E33" s="35">
        <f>(D33/60)/24</f>
        <v>7.4729166666666664</v>
      </c>
      <c r="G33" s="4"/>
      <c r="H33" s="4"/>
      <c r="I33" s="6"/>
      <c r="J33" s="6"/>
      <c r="K33" s="6"/>
      <c r="L33" s="6"/>
      <c r="M33" s="6"/>
      <c r="N33" s="6"/>
      <c r="O33" s="6"/>
      <c r="P33" s="5"/>
      <c r="Q33" s="27"/>
    </row>
    <row r="34" spans="2:17" x14ac:dyDescent="0.25">
      <c r="B34" s="6"/>
      <c r="C34" t="s">
        <v>76</v>
      </c>
      <c r="D34" s="30">
        <f>O27</f>
        <v>1653</v>
      </c>
      <c r="E34" s="37">
        <f>(D34/60)/24</f>
        <v>1.1479166666666667</v>
      </c>
      <c r="G34" s="4"/>
      <c r="J34" s="6"/>
      <c r="K34" s="6"/>
      <c r="L34" s="6"/>
      <c r="M34" s="6"/>
      <c r="N34" s="6"/>
      <c r="O34" s="6"/>
      <c r="P34" s="6"/>
      <c r="Q34" s="27"/>
    </row>
    <row r="35" spans="2:17" x14ac:dyDescent="0.25">
      <c r="D35" t="s">
        <v>66</v>
      </c>
      <c r="E35" t="s">
        <v>67</v>
      </c>
      <c r="Q35" s="27"/>
    </row>
    <row r="36" spans="2:17" x14ac:dyDescent="0.25">
      <c r="C36" s="6" t="s">
        <v>65</v>
      </c>
      <c r="D36">
        <f>SUM(K4:K27)</f>
        <v>1681</v>
      </c>
      <c r="E36" s="36">
        <f>Q29</f>
        <v>240383</v>
      </c>
      <c r="Q36" s="27"/>
    </row>
    <row r="37" spans="2:17" x14ac:dyDescent="0.25">
      <c r="C37" t="s">
        <v>63</v>
      </c>
      <c r="D37">
        <f>SUM(K4:K10)</f>
        <v>325</v>
      </c>
      <c r="E37" s="36">
        <f>SUM(Q4:Q10)</f>
        <v>46475</v>
      </c>
      <c r="Q37" s="27"/>
    </row>
    <row r="38" spans="2:17" x14ac:dyDescent="0.25">
      <c r="C38" t="s">
        <v>64</v>
      </c>
      <c r="D38">
        <f>SUM(K12:K19)</f>
        <v>772</v>
      </c>
      <c r="E38" s="36">
        <f>SUM(Q12:Q27)</f>
        <v>192621</v>
      </c>
      <c r="Q38" s="27"/>
    </row>
    <row r="39" spans="2:17" x14ac:dyDescent="0.25">
      <c r="C39" t="s">
        <v>76</v>
      </c>
      <c r="D39">
        <f>K27</f>
        <v>255</v>
      </c>
      <c r="E39" s="36">
        <f>Q27</f>
        <v>36465</v>
      </c>
    </row>
  </sheetData>
  <mergeCells count="5">
    <mergeCell ref="M2:O2"/>
    <mergeCell ref="C29:K29"/>
    <mergeCell ref="S2:S3"/>
    <mergeCell ref="T2:T3"/>
    <mergeCell ref="U1:X1"/>
  </mergeCells>
  <phoneticPr fontId="4" type="noConversion"/>
  <conditionalFormatting sqref="L4:M27">
    <cfRule type="containsText" dxfId="8" priority="4" operator="containsText" text="Queue">
      <formula>NOT(ISERROR(SEARCH("Queue",L4)))</formula>
    </cfRule>
    <cfRule type="containsText" dxfId="7" priority="5" operator="containsText" text="Running">
      <formula>NOT(ISERROR(SEARCH("Running",L4)))</formula>
    </cfRule>
    <cfRule type="containsText" dxfId="6" priority="6" operator="containsText" text="Done">
      <formula>NOT(ISERROR(SEARCH("Done",L4)))</formula>
    </cfRule>
  </conditionalFormatting>
  <conditionalFormatting sqref="D24:D25 I31">
    <cfRule type="containsBlanks" dxfId="5" priority="7">
      <formula>LEN(TRIM(D24))=0</formula>
    </cfRule>
    <cfRule type="aboveAverage" dxfId="4" priority="8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E423B830-BA94-4AF7-BE04-8D69011760E6}">
            <xm:f>NOT(ISERROR(SEARCH("-",D24)))</xm:f>
            <xm:f>"-"</xm:f>
            <x14:dxf>
              <fill>
                <patternFill>
                  <bgColor rgb="FFFF0000"/>
                </patternFill>
              </fill>
            </x14:dxf>
          </x14:cfRule>
          <xm:sqref>I31 D24:D25 D27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 of Material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Jun</cp:lastModifiedBy>
  <dcterms:created xsi:type="dcterms:W3CDTF">2026-01-09T18:11:20Z</dcterms:created>
  <dcterms:modified xsi:type="dcterms:W3CDTF">2026-04-08T05:21:10Z</dcterms:modified>
</cp:coreProperties>
</file>